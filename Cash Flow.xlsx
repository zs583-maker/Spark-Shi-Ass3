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79a27a7ff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ded Worksheet" sheetId="1" r:id="Re735be4bc583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($#,##0);-"/>
    <x:numFmt numFmtId="201" formatCode="#,##0;(#,##0);-"/>
  </x:numFmts>
  <x:fonts count="4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6DAE1"/>
      </x:patternFill>
    </x:fill>
    <x:fill>
      <x:patternFill patternType="solid">
        <x:fgColor rgb="FFEAEDF1"/>
      </x:patternFill>
    </x:fill>
    <x:fill>
      <x:patternFill patternType="solid">
        <x:fgColor rgb="FF80B1E5"/>
      </x:patternFill>
    </x:fill>
    <x:fill>
      <x:patternFill patternType="solid">
        <x:fgColor rgb="FFFFFF00"/>
      </x:patternFill>
    </x:fill>
    <x:fill>
      <x:patternFill patternType="solid">
        <x:fgColor rgb="FFD9E3F3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1" fillId="0" borderId="1" xfId="0" applyNumberFormat="1" applyFont="1" applyFill="1" applyBorder="1"/>
    <x:xf numFmtId="200" fontId="1" fillId="3" borderId="1" xfId="0" applyNumberFormat="1" applyFont="1" applyFill="1" applyBorder="1"/>
    <x:xf numFmtId="200" fontId="2" fillId="0" borderId="1" xfId="0" applyNumberFormat="1" applyFont="1" applyFill="1" applyBorder="1"/>
    <x:xf numFmtId="200" fontId="2" fillId="3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200" fontId="1" fillId="5" borderId="0" xfId="0" applyNumberFormat="1" applyFont="1" applyFill="1" applyBorder="1"/>
    <x:xf numFmtId="200" fontId="2" fillId="4" borderId="0" xfId="0" applyNumberFormat="1" applyFont="1" applyFill="1" applyBorder="1" applyAlignment="1">
      <x:alignment horizontal="center"/>
    </x:xf>
    <x:xf numFmtId="200" fontId="1" fillId="5" borderId="1" xfId="0" applyNumberFormat="1" applyFont="1" applyFill="1" applyBorder="1"/>
    <x:xf numFmtId="200" fontId="2" fillId="4" borderId="1" xfId="0" applyNumberFormat="1" applyFont="1" applyFill="1" applyBorder="1" applyAlignment="1">
      <x:alignment horizontal="center"/>
    </x:xf>
    <x:xf numFmtId="200" fontId="2" fillId="5" borderId="0" xfId="0" applyNumberFormat="1" applyFont="1" applyFill="1" applyBorder="1"/>
    <x:xf numFmtId="200" fontId="2" fillId="5" borderId="1" xfId="0" applyNumberFormat="1" applyFont="1" applyFill="1" applyBorder="1"/>
    <x:xf numFmtId="0" fontId="1" fillId="6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1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5d4bcedd7400f" /><Relationship Type="http://schemas.openxmlformats.org/officeDocument/2006/relationships/theme" Target="/xl/theme/theme1.xml" Id="R72d94690d73a4bb2" /><Relationship Type="http://schemas.openxmlformats.org/officeDocument/2006/relationships/sharedStrings" Target="/xl/sharedStrings.xml" Id="Rd1a62b9f8c944ab4" /><Relationship Type="http://schemas.openxmlformats.org/officeDocument/2006/relationships/worksheet" Target="/xl/worksheets/sheet1.xml" Id="Re735be4bc5834f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6" hidden="0" customWidth="1"/>
    <x:col min="3" max="3" width="16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0" customHeight="1">
      <x:c r="A1" s="2"/>
      <x:c r="B1" s="2"/>
      <x:c r="C1" s="2"/>
    </x:row>
    <x:row r="2" ht="20" customHeight="1">
      <x:c r="A2" s="2" t="str">
        <x:v>I &amp; S Apparel Industries has provided its Balance Sheet and Financial Statement Notes. The Controller has asked you to prepare the Statement</x:v>
      </x:c>
      <x:c r="B2" s="2"/>
      <x:c r="C2" s="2"/>
    </x:row>
    <x:row r="3" ht="20" customHeight="1">
      <x:c r="A3" s="2" t="str">
        <x:v>of Cash Flows. Use the information included and the Excel functions described below to complete the task.</x:v>
      </x:c>
      <x:c r="B3" s="2"/>
      <x:c r="C3" s="2"/>
    </x:row>
    <x:row r="4" ht="20" customHeight="1">
      <x:c r="A4" s="2" t="str">
        <x:v>Note: Carefully read the notes at the bottom of this statement.</x:v>
      </x:c>
      <x:c r="B4" s="2"/>
      <x:c r="C4" s="2"/>
    </x:row>
    <x:row r="5" ht="20" customHeight="1">
      <x:c r="A5" s="2"/>
      <x:c r="B5" s="2"/>
      <x:c r="C5" s="2"/>
    </x:row>
    <x:row r="6" ht="20" customHeight="1">
      <x:c r="A6" s="12" t="str">
        <x:v>I &amp; S Apparel Industries</x:v>
      </x:c>
      <x:c r="B6" s="12"/>
      <x:c r="C6" s="12"/>
    </x:row>
    <x:row r="7" ht="20" customHeight="1">
      <x:c r="A7" s="12" t="str">
        <x:v>Balance Sheet</x:v>
      </x:c>
      <x:c r="B7" s="12"/>
      <x:c r="C7" s="12"/>
    </x:row>
    <x:row r="8" ht="20" customHeight="1">
      <x:c r="A8" s="12" t="str">
        <x:v>For the Year Ended December 31, Year 2</x:v>
      </x:c>
      <x:c r="B8" s="12"/>
      <x:c r="C8" s="12"/>
    </x:row>
    <x:row r="9" ht="20" customHeight="1">
      <x:c r="A9" s="14"/>
      <x:c r="B9" s="14" t="str">
        <x:v>Year 2</x:v>
      </x:c>
      <x:c r="C9" s="14" t="str">
        <x:v>Year 1</x:v>
      </x:c>
    </x:row>
    <x:row r="10" ht="20" customHeight="1">
      <x:c r="A10" s="10" t="str">
        <x:v>Assets</x:v>
      </x:c>
      <x:c r="B10" s="10"/>
      <x:c r="C10" s="10"/>
    </x:row>
    <x:row r="11" ht="20" customHeight="1">
      <x:c r="A11" s="10" t="str">
        <x:v>Current Assets</x:v>
      </x:c>
      <x:c r="B11" s="10"/>
      <x:c r="C11" s="10"/>
    </x:row>
    <x:row r="12" ht="20" customHeight="1">
      <x:c r="A12" s="2" t="str">
        <x:v>Cash</x:v>
      </x:c>
      <x:c r="B12" s="18" t="n">
        <x:v>68250</x:v>
      </x:c>
      <x:c r="C12" s="18" t="n">
        <x:v>63500</x:v>
      </x:c>
    </x:row>
    <x:row r="13" ht="20" customHeight="1">
      <x:c r="A13" s="2" t="str">
        <x:v>Accounts Receivable</x:v>
      </x:c>
      <x:c r="B13" s="18" t="n">
        <x:v>15250</x:v>
      </x:c>
      <x:c r="C13" s="18" t="n">
        <x:v>22250</x:v>
      </x:c>
    </x:row>
    <x:row r="14" ht="20" customHeight="1">
      <x:c r="A14" s="2" t="str">
        <x:v>Prepaid Insurance</x:v>
      </x:c>
      <x:c r="B14" s="18" t="n">
        <x:v>7500</x:v>
      </x:c>
      <x:c r="C14" s="18" t="n">
        <x:v>10000</x:v>
      </x:c>
    </x:row>
    <x:row r="15" ht="20" customHeight="1">
      <x:c r="A15" s="2" t="str">
        <x:v>Merchandise Inventory</x:v>
      </x:c>
      <x:c r="B15" s="18" t="n">
        <x:v>35000</x:v>
      </x:c>
      <x:c r="C15" s="18" t="n">
        <x:v>20000</x:v>
      </x:c>
    </x:row>
    <x:row r="16" ht="20" customHeight="1">
      <x:c r="A16" s="14" t="str">
        <x:v>Total Current Assets</x:v>
      </x:c>
      <x:c r="B16" s="19" t="n">
        <x:v>126000</x:v>
      </x:c>
      <x:c r="C16" s="19" t="n">
        <x:v>115750</x:v>
      </x:c>
    </x:row>
    <x:row r="17" ht="20" customHeight="1">
      <x:c r="A17" s="10" t="str">
        <x:v>Property and Equipment:</x:v>
      </x:c>
      <x:c r="B17" s="20"/>
      <x:c r="C17" s="20"/>
    </x:row>
    <x:row r="18" ht="20" customHeight="1">
      <x:c r="A18" s="2" t="str">
        <x:v>Buildings</x:v>
      </x:c>
      <x:c r="B18" s="18" t="n">
        <x:v>350000</x:v>
      </x:c>
      <x:c r="C18" s="18" t="n">
        <x:v>350000</x:v>
      </x:c>
    </x:row>
    <x:row r="19" ht="20" customHeight="1">
      <x:c r="A19" s="2" t="str">
        <x:v>Equipment</x:v>
      </x:c>
      <x:c r="B19" s="18" t="n">
        <x:v>210000</x:v>
      </x:c>
      <x:c r="C19" s="18" t="n">
        <x:v>150000</x:v>
      </x:c>
    </x:row>
    <x:row r="20" ht="20" customHeight="1">
      <x:c r="A20" s="14" t="str">
        <x:v>Total Cost</x:v>
      </x:c>
      <x:c r="B20" s="19" t="n">
        <x:v>560000</x:v>
      </x:c>
      <x:c r="C20" s="19" t="n">
        <x:v>500000</x:v>
      </x:c>
    </x:row>
    <x:row r="21" ht="20" customHeight="1">
      <x:c r="A21" s="2" t="str">
        <x:v>Accumulated Depreciation</x:v>
      </x:c>
      <x:c r="B21" s="18" t="n">
        <x:v>60000</x:v>
      </x:c>
      <x:c r="C21" s="18" t="n">
        <x:v>45000</x:v>
      </x:c>
    </x:row>
    <x:row r="22" ht="20" customHeight="1">
      <x:c r="A22" s="14" t="str">
        <x:v>Net Property and Equipment</x:v>
      </x:c>
      <x:c r="B22" s="19" t="n">
        <x:v>500000</x:v>
      </x:c>
      <x:c r="C22" s="19" t="n">
        <x:v>455000</x:v>
      </x:c>
    </x:row>
    <x:row r="23" ht="20" customHeight="1">
      <x:c r="A23" s="16" t="str">
        <x:v>Total Assets</x:v>
      </x:c>
      <x:c r="B23" s="21" t="n">
        <x:v>626000</x:v>
      </x:c>
      <x:c r="C23" s="21" t="n">
        <x:v>570750</x:v>
      </x:c>
    </x:row>
    <x:row r="24" ht="20" customHeight="1">
      <x:c r="A24" s="10" t="str">
        <x:v>Liabilities</x:v>
      </x:c>
      <x:c r="B24" s="20"/>
      <x:c r="C24" s="20"/>
    </x:row>
    <x:row r="25" ht="20" customHeight="1">
      <x:c r="A25" s="10" t="str">
        <x:v>Current Liabilities</x:v>
      </x:c>
      <x:c r="B25" s="20"/>
      <x:c r="C25" s="20"/>
    </x:row>
    <x:row r="26" ht="20" customHeight="1">
      <x:c r="A26" s="2" t="str">
        <x:v>Accounts Payable</x:v>
      </x:c>
      <x:c r="B26" s="18" t="n">
        <x:v>40000</x:v>
      </x:c>
      <x:c r="C26" s="18" t="n">
        <x:v>41850</x:v>
      </x:c>
    </x:row>
    <x:row r="27" ht="20" customHeight="1">
      <x:c r="A27" s="2" t="str">
        <x:v>Wages Payable</x:v>
      </x:c>
      <x:c r="B27" s="18" t="n">
        <x:v>58000</x:v>
      </x:c>
      <x:c r="C27" s="18" t="n">
        <x:v>40000</x:v>
      </x:c>
    </x:row>
    <x:row r="28" ht="20" customHeight="1">
      <x:c r="A28" s="2" t="str">
        <x:v>Unearned Revenue</x:v>
      </x:c>
      <x:c r="B28" s="18" t="n">
        <x:v>20000</x:v>
      </x:c>
      <x:c r="C28" s="18" t="n">
        <x:v>25000</x:v>
      </x:c>
    </x:row>
    <x:row r="29" ht="20" customHeight="1">
      <x:c r="A29" s="2" t="str">
        <x:v>Interest Payable</x:v>
      </x:c>
      <x:c r="B29" s="18" t="n">
        <x:v>4000</x:v>
      </x:c>
      <x:c r="C29" s="18" t="n">
        <x:v>5000</x:v>
      </x:c>
    </x:row>
    <x:row r="30" ht="20" customHeight="1">
      <x:c r="A30" s="2" t="str">
        <x:v>Taxes Payable</x:v>
      </x:c>
      <x:c r="B30" s="18" t="n">
        <x:v>10000</x:v>
      </x:c>
      <x:c r="C30" s="18" t="n">
        <x:v>8000</x:v>
      </x:c>
    </x:row>
    <x:row r="31" ht="20" customHeight="1">
      <x:c r="A31" s="14" t="str">
        <x:v>Total Current Liabilities</x:v>
      </x:c>
      <x:c r="B31" s="19" t="n">
        <x:v>132000</x:v>
      </x:c>
      <x:c r="C31" s="19" t="n">
        <x:v>119850</x:v>
      </x:c>
    </x:row>
    <x:row r="32" ht="20" customHeight="1">
      <x:c r="A32" s="2" t="str">
        <x:v>Notes Payable (LT)</x:v>
      </x:c>
      <x:c r="B32" s="18" t="n">
        <x:v>104000</x:v>
      </x:c>
      <x:c r="C32" s="18" t="n">
        <x:v>125000</x:v>
      </x:c>
    </x:row>
    <x:row r="33" ht="20" customHeight="1">
      <x:c r="A33" s="14" t="str">
        <x:v>Total Liabilities</x:v>
      </x:c>
      <x:c r="B33" s="19" t="n">
        <x:v>236000</x:v>
      </x:c>
      <x:c r="C33" s="19" t="n">
        <x:v>244850</x:v>
      </x:c>
    </x:row>
    <x:row r="34" ht="20" customHeight="1">
      <x:c r="A34" s="10" t="str">
        <x:v>Stockholders' Equity</x:v>
      </x:c>
      <x:c r="B34" s="20"/>
      <x:c r="C34" s="20"/>
    </x:row>
    <x:row r="35" ht="20" customHeight="1">
      <x:c r="A35" s="2" t="str">
        <x:v>Common Stock</x:v>
      </x:c>
      <x:c r="B35" s="18" t="n">
        <x:v>30000</x:v>
      </x:c>
      <x:c r="C35" s="18" t="n">
        <x:v>25000</x:v>
      </x:c>
    </x:row>
    <x:row r="36" ht="20" customHeight="1">
      <x:c r="A36" s="2" t="str">
        <x:v>Additional paid-in Capital</x:v>
      </x:c>
      <x:c r="B36" s="18" t="n">
        <x:v>275000</x:v>
      </x:c>
      <x:c r="C36" s="18" t="n">
        <x:v>250000</x:v>
      </x:c>
    </x:row>
    <x:row r="37" ht="20" customHeight="1">
      <x:c r="A37" s="2" t="str">
        <x:v>Retained Earnings</x:v>
      </x:c>
      <x:c r="B37" s="18" t="n">
        <x:v>85000</x:v>
      </x:c>
      <x:c r="C37" s="18" t="n">
        <x:v>50900</x:v>
      </x:c>
    </x:row>
    <x:row r="38" ht="20" customHeight="1">
      <x:c r="A38" s="14" t="str">
        <x:v>Total Stockholders' Equity</x:v>
      </x:c>
      <x:c r="B38" s="19" t="n">
        <x:v>390000</x:v>
      </x:c>
      <x:c r="C38" s="19" t="n">
        <x:v>325900</x:v>
      </x:c>
    </x:row>
    <x:row r="39" ht="20" customHeight="1">
      <x:c r="A39" s="16" t="str">
        <x:v>Total Liabilities and SE</x:v>
      </x:c>
      <x:c r="B39" s="21" t="n">
        <x:v>626000</x:v>
      </x:c>
      <x:c r="C39" s="21" t="n">
        <x:v>570750</x:v>
      </x:c>
    </x:row>
    <x:row r="40" ht="20" customHeight="1">
      <x:c r="A40" s="2"/>
      <x:c r="B40" s="2"/>
      <x:c r="C40" s="2"/>
    </x:row>
    <x:row r="41" ht="20" customHeight="1">
      <x:c r="A41" s="10" t="str">
        <x:v>Notes to financial statements</x:v>
      </x:c>
      <x:c r="B41" s="10"/>
      <x:c r="C41" s="10"/>
    </x:row>
    <x:row r="42" ht="20" customHeight="1">
      <x:c r="A42" s="2" t="str">
        <x:v>Dividends Declared and Paid</x:v>
      </x:c>
      <x:c r="B42" s="26" t="n">
        <x:v>12650</x:v>
      </x:c>
      <x:c r="C42" s="2"/>
    </x:row>
    <x:row r="43" ht="20" customHeight="1">
      <x:c r="A43" s="2" t="str">
        <x:v>Cash Received from sale of Equipment</x:v>
      </x:c>
      <x:c r="B43" s="26" t="n">
        <x:v>8000</x:v>
      </x:c>
      <x:c r="C43" s="2"/>
    </x:row>
    <x:row r="44" ht="20" customHeight="1">
      <x:c r="A44" s="2" t="str">
        <x:v>Gain on sale of equipment shown on income statement</x:v>
      </x:c>
      <x:c r="B44" s="26" t="n">
        <x:v>2000</x:v>
      </x:c>
      <x:c r="C44" s="2"/>
    </x:row>
    <x:row r="45" ht="20" customHeight="1">
      <x:c r="A45" s="2" t="str">
        <x:v>New equipment was purchased for cash</x:v>
      </x:c>
      <x:c r="B45" s="26" t="n">
        <x:v>70000</x:v>
      </x:c>
      <x:c r="C45" s="2"/>
    </x:row>
    <x:row r="46" ht="20" customHeight="1">
      <x:c r="A46" s="2" t="str">
        <x:v>Additional Common Stock was issued</x:v>
      </x:c>
      <x:c r="B46" s="2"/>
      <x:c r="C46" s="2"/>
    </x:row>
    <x:row r="47" ht="20" customHeight="1">
      <x:c r="A47" s="2" t="str">
        <x:v>Notes were repaid and no additional loans were made</x:v>
      </x:c>
      <x:c r="B47" s="2"/>
      <x:c r="C47" s="2"/>
    </x:row>
    <x:row r="48" ht="20" customHeight="1">
      <x:c r="A48" s="2" t="str">
        <x:v>No buildings were purchases or sold</x:v>
      </x:c>
      <x:c r="B48" s="2"/>
      <x:c r="C48" s="2"/>
    </x:row>
    <x:row r="49" ht="20" customHeight="1">
      <x:c r="A49" s="2"/>
      <x:c r="B49" s="2"/>
      <x:c r="C49" s="2"/>
    </x:row>
    <x:row r="50" ht="20" customHeight="1">
      <x:c r="A50" s="2" t="str">
        <x:v>Here are some tips for using Excel:</x:v>
      </x:c>
      <x:c r="B50" s="2"/>
      <x:c r="C50" s="2"/>
    </x:row>
    <x:row r="51" ht="20" customHeight="1">
      <x:c r="A51" s="2"/>
      <x:c r="B51" s="2"/>
      <x:c r="C51" s="2"/>
    </x:row>
    <x:row r="52" ht="48" customHeight="1">
      <x:c r="A52" s="10" t="str">
        <x:v>Cell Reference:</x:v>
      </x:c>
      <x:c r="B52" s="28" t="str">
        <x:v>Allows you to refer to data from another cell in the worksheet. For example, =C12 returns the value in C12.</x:v>
      </x:c>
      <x:c r="C52" s="28"/>
      <x:c r="D52" s="29"/>
      <x:c r="E52" s="29"/>
      <x:c r="F52" s="29"/>
      <x:c r="G52" s="29"/>
    </x:row>
    <x:row r="53" ht="65" customHeight="1">
      <x:c r="A53" s="10" t="str">
        <x:v>Multi-Tab Cell Reference:</x:v>
      </x:c>
      <x:c r="B53" s="28" t="str">
        <x:v>Allows you to refer to data from a cell in a separate tab. Use a sheet name and exclamation mark, for example ='Balance Sheet'!C10.</x:v>
      </x:c>
      <x:c r="C53" s="28"/>
      <x:c r="D53" s="29"/>
      <x:c r="E53" s="29"/>
      <x:c r="F53" s="29"/>
      <x:c r="G53" s="29"/>
    </x:row>
    <x:row r="54" ht="48" customHeight="1">
      <x:c r="A54" s="10" t="str">
        <x:v>Basic Math functions:</x:v>
      </x:c>
      <x:c r="B54" s="28" t="str">
        <x:v>Use +, -, * and / to add, subtract, multiply and divide cell values.</x:v>
      </x:c>
      <x:c r="C54" s="28"/>
      <x:c r="D54" s="29"/>
      <x:c r="E54" s="29"/>
      <x:c r="F54" s="29"/>
      <x:c r="G54" s="29"/>
    </x:row>
    <x:row r="55" ht="65" customHeight="1">
      <x:c r="A55" s="10" t="str">
        <x:v>SUM function:</x:v>
      </x:c>
      <x:c r="B55" s="28" t="str">
        <x:v>SUM adds individual cells or a range of cells, for example =SUM(C10:C12).</x:v>
      </x:c>
      <x:c r="C55" s="28"/>
      <x:c r="D55" s="29"/>
      <x:c r="E55" s="29"/>
      <x:c r="F55" s="29"/>
      <x:c r="G55" s="29"/>
    </x:row>
    <x:row r="56" ht="20" customHeight="1">
      <x:c r="A56" s="2"/>
      <x:c r="B56" s="2"/>
      <x:c r="C56" s="2"/>
    </x:row>
    <x:row r="57" ht="20" customHeight="1">
      <x:c r="A57" s="2" t="str">
        <x:v>Required:</x:v>
      </x:c>
      <x:c r="B57" s="2"/>
      <x:c r="C57" s="2"/>
    </x:row>
    <x:row r="58" ht="20" customHeight="1">
      <x:c r="A58" s="2" t="str">
        <x:v>1) Complete the following calculations by referencing values from the Balance Sheet and values from the notes.</x:v>
      </x:c>
      <x:c r="B58" s="2"/>
      <x:c r="C58" s="2"/>
    </x:row>
    <x:row r="59" ht="20" customHeight="1">
      <x:c r="A59" s="2" t="str">
        <x:v>   found at the bottom of the balance sheet.</x:v>
      </x:c>
      <x:c r="B59" s="2"/>
      <x:c r="C59" s="2"/>
    </x:row>
    <x:row r="60" ht="20" customHeight="1">
      <x:c r="A60" s="2" t="str">
        <x:v>a. Calculate the book value of the asset sold</x:v>
      </x:c>
      <x:c r="B60" s="40" t="n">
        <x:f>B43-B44</x:f>
        <x:v>6000</x:v>
      </x:c>
      <x:c r="C60" s="18"/>
    </x:row>
    <x:row r="61" ht="20" customHeight="1">
      <x:c r="A61" s="2" t="str">
        <x:v>b. Calculate the historical cost of the asset sold</x:v>
      </x:c>
      <x:c r="B61" s="40" t="n">
        <x:f>C19+B45-B19</x:f>
        <x:v>10000</x:v>
      </x:c>
      <x:c r="C61" s="18"/>
    </x:row>
    <x:row r="62" ht="36" customHeight="1">
      <x:c r="A62" s="28" t="str">
        <x:v>c. Calculate related Accumulated Depreciation for equipment sold</x:v>
      </x:c>
      <x:c r="B62" s="40" t="n">
        <x:f>B61-B60</x:f>
        <x:v>4000</x:v>
      </x:c>
      <x:c r="C62" s="18"/>
    </x:row>
    <x:row r="63" ht="20" customHeight="1">
      <x:c r="A63" s="2"/>
      <x:c r="B63" s="18"/>
      <x:c r="C63" s="18"/>
    </x:row>
    <x:row r="64" ht="20" customHeight="1">
      <x:c r="A64" s="2" t="str">
        <x:v>2) Complete the statement of cash flows (indirect method) shown below by using formulas that reference data from the</x:v>
      </x:c>
      <x:c r="B64" s="18"/>
      <x:c r="C64" s="18"/>
    </x:row>
    <x:row r="65" ht="20" customHeight="1">
      <x:c r="A65" s="2" t="str">
        <x:v>balance sheet. Read the notes at the bottom of the balance sheet carefully.</x:v>
      </x:c>
      <x:c r="B65" s="18"/>
      <x:c r="C65" s="18"/>
    </x:row>
    <x:row r="66" ht="20" customHeight="1">
      <x:c r="A66" s="36" t="str">
        <x:v>I &amp; S Apparel Industries</x:v>
      </x:c>
      <x:c r="B66" s="41"/>
      <x:c r="C66" s="41"/>
    </x:row>
    <x:row r="67" ht="20" customHeight="1">
      <x:c r="A67" s="36" t="str">
        <x:v>Statement of Cash Flows</x:v>
      </x:c>
      <x:c r="B67" s="41"/>
      <x:c r="C67" s="41"/>
    </x:row>
    <x:row r="68" ht="20" customHeight="1">
      <x:c r="A68" s="36" t="str">
        <x:v>For the Year Ended December 31, Year 2</x:v>
      </x:c>
      <x:c r="B68" s="41"/>
      <x:c r="C68" s="41"/>
    </x:row>
    <x:row r="69" ht="20" customHeight="1">
      <x:c r="A69" s="10" t="str">
        <x:v>Cash Flows from Operating Activities:</x:v>
      </x:c>
      <x:c r="B69" s="20"/>
      <x:c r="C69" s="20"/>
    </x:row>
    <x:row r="70" ht="20" customHeight="1">
      <x:c r="A70" s="2" t="str">
        <x:v>Net income</x:v>
      </x:c>
      <x:c r="B70" s="40" t="n">
        <x:f>B37-C37+B42</x:f>
        <x:v>46750</x:v>
      </x:c>
      <x:c r="C70" s="18"/>
    </x:row>
    <x:row r="71" ht="20" customHeight="1">
      <x:c r="A71" s="2" t="str">
        <x:v>Adjustments to reconcile net income to net cash provided</x:v>
      </x:c>
      <x:c r="B71" s="40"/>
      <x:c r="C71" s="18"/>
    </x:row>
    <x:row r="72" ht="20" customHeight="1">
      <x:c r="A72" s="2" t="str">
        <x:v>Depreciation expense</x:v>
      </x:c>
      <x:c r="B72" s="40" t="n">
        <x:f>B21-C21+B62</x:f>
        <x:v>19000</x:v>
      </x:c>
      <x:c r="C72" s="18"/>
    </x:row>
    <x:row r="73" ht="20" customHeight="1">
      <x:c r="A73" s="2" t="str">
        <x:v>Gain on sale of Equipment</x:v>
      </x:c>
      <x:c r="B73" s="40" t="n">
        <x:f>-B44</x:f>
        <x:v>-2000</x:v>
      </x:c>
      <x:c r="C73" s="18"/>
    </x:row>
    <x:row r="74" ht="20" customHeight="1">
      <x:c r="A74" s="2" t="str">
        <x:v>Changes in current assets and current liabilities:</x:v>
      </x:c>
      <x:c r="B74" s="40"/>
      <x:c r="C74" s="18"/>
    </x:row>
    <x:row r="75" ht="20" customHeight="1">
      <x:c r="A75" s="2" t="str">
        <x:v>Accounts receivable</x:v>
      </x:c>
      <x:c r="B75" s="40" t="n">
        <x:f>C13-B13</x:f>
        <x:v>7000</x:v>
      </x:c>
      <x:c r="C75" s="18"/>
    </x:row>
    <x:row r="76" ht="20" customHeight="1">
      <x:c r="A76" s="2" t="str">
        <x:v>Prepaid insurance</x:v>
      </x:c>
      <x:c r="B76" s="40" t="n">
        <x:f>C14-B14</x:f>
        <x:v>2500</x:v>
      </x:c>
      <x:c r="C76" s="18"/>
    </x:row>
    <x:row r="77" ht="20" customHeight="1">
      <x:c r="A77" s="2" t="str">
        <x:v>Inventory</x:v>
      </x:c>
      <x:c r="B77" s="40" t="n">
        <x:f>C15-B15</x:f>
        <x:v>-15000</x:v>
      </x:c>
      <x:c r="C77" s="18"/>
    </x:row>
    <x:row r="78" ht="20" customHeight="1">
      <x:c r="A78" s="2" t="str">
        <x:v>Accounts payable</x:v>
      </x:c>
      <x:c r="B78" s="40" t="n">
        <x:f>B26-C26</x:f>
        <x:v>-1850</x:v>
      </x:c>
      <x:c r="C78" s="18"/>
    </x:row>
    <x:row r="79" ht="20" customHeight="1">
      <x:c r="A79" s="2" t="str">
        <x:v>Wages payable</x:v>
      </x:c>
      <x:c r="B79" s="40" t="n">
        <x:f>B27-C27</x:f>
        <x:v>18000</x:v>
      </x:c>
      <x:c r="C79" s="18"/>
    </x:row>
    <x:row r="80" ht="20" customHeight="1">
      <x:c r="A80" s="2" t="str">
        <x:v>Unearned revenue</x:v>
      </x:c>
      <x:c r="B80" s="40" t="n">
        <x:f>B28-C28</x:f>
        <x:v>-5000</x:v>
      </x:c>
      <x:c r="C80" s="18"/>
    </x:row>
    <x:row r="81" ht="20" customHeight="1">
      <x:c r="A81" s="2" t="str">
        <x:v>Interest payable</x:v>
      </x:c>
      <x:c r="B81" s="40" t="n">
        <x:f>B29-C29</x:f>
        <x:v>-1000</x:v>
      </x:c>
      <x:c r="C81" s="18"/>
    </x:row>
    <x:row r="82" ht="20" customHeight="1">
      <x:c r="A82" s="2" t="str">
        <x:v>Taxes payable</x:v>
      </x:c>
      <x:c r="B82" s="40" t="n">
        <x:f>B30-C30</x:f>
        <x:v>2000</x:v>
      </x:c>
      <x:c r="C82" s="18"/>
    </x:row>
    <x:row r="83" ht="20" customHeight="1">
      <x:c r="A83" s="2" t="str">
        <x:v>Net cash provided by (used in) operating activities</x:v>
      </x:c>
      <x:c r="B83" s="18"/>
      <x:c r="C83" s="40" t="n">
        <x:f>SUM(B70,B72:B73,B75:B82)</x:f>
        <x:v>70400</x:v>
      </x:c>
    </x:row>
    <x:row r="84" ht="20" customHeight="1">
      <x:c r="A84" s="10" t="str">
        <x:v>Cash Flows from Investing Activities:</x:v>
      </x:c>
      <x:c r="B84" s="20"/>
      <x:c r="C84" s="20"/>
    </x:row>
    <x:row r="85" ht="20" customHeight="1">
      <x:c r="A85" s="2" t="str">
        <x:v>Equipment Purchased</x:v>
      </x:c>
      <x:c r="B85" s="40" t="n">
        <x:f>-B45</x:f>
        <x:v>-70000</x:v>
      </x:c>
      <x:c r="C85" s="18"/>
    </x:row>
    <x:row r="86" ht="20" customHeight="1">
      <x:c r="A86" s="2" t="str">
        <x:v>Equipment Sold</x:v>
      </x:c>
      <x:c r="B86" s="40" t="n">
        <x:f>B43</x:f>
        <x:v>8000</x:v>
      </x:c>
      <x:c r="C86" s="18"/>
    </x:row>
    <x:row r="87" ht="20" customHeight="1">
      <x:c r="A87" s="2" t="str">
        <x:v>Net cash provided by (used in) investing activities</x:v>
      </x:c>
      <x:c r="B87" s="18"/>
      <x:c r="C87" s="40" t="n">
        <x:f>SUM(B85:B86)</x:f>
        <x:v>-62000</x:v>
      </x:c>
    </x:row>
    <x:row r="88" ht="20" customHeight="1">
      <x:c r="A88" s="10" t="str">
        <x:v>Cash Flows from Financing Activities:</x:v>
      </x:c>
      <x:c r="B88" s="20"/>
      <x:c r="C88" s="20"/>
    </x:row>
    <x:row r="89" ht="20" customHeight="1">
      <x:c r="A89" s="2" t="str">
        <x:v>Cash paid for Dividends</x:v>
      </x:c>
      <x:c r="B89" s="40" t="n">
        <x:f>-B42</x:f>
        <x:v>-12650</x:v>
      </x:c>
      <x:c r="C89" s="18"/>
    </x:row>
    <x:row r="90" ht="20" customHeight="1">
      <x:c r="A90" s="2" t="str">
        <x:v>Issue common stock</x:v>
      </x:c>
      <x:c r="B90" s="40" t="n">
        <x:f>(B35-C35)+(B36-C36)</x:f>
        <x:v>30000</x:v>
      </x:c>
      <x:c r="C90" s="18"/>
    </x:row>
    <x:row r="91" ht="20" customHeight="1">
      <x:c r="A91" s="2" t="str">
        <x:v>Repayment of Notes</x:v>
      </x:c>
      <x:c r="B91" s="40" t="n">
        <x:f>B32-C32</x:f>
        <x:v>-21000</x:v>
      </x:c>
      <x:c r="C91" s="18"/>
    </x:row>
    <x:row r="92" ht="20" customHeight="1">
      <x:c r="A92" s="2" t="str">
        <x:v>Net cash provided by (used in) financing activities</x:v>
      </x:c>
      <x:c r="B92" s="18"/>
      <x:c r="C92" s="40" t="n">
        <x:f>SUM(B89:B91)</x:f>
        <x:v>-3650</x:v>
      </x:c>
    </x:row>
    <x:row r="93" ht="20" customHeight="1">
      <x:c r="A93" s="2" t="str">
        <x:v>Net increase (decrease) in cash</x:v>
      </x:c>
      <x:c r="B93" s="18"/>
      <x:c r="C93" s="40" t="n">
        <x:f>SUM(C83,C87,C92)</x:f>
        <x:v>4750</x:v>
      </x:c>
    </x:row>
    <x:row r="94" ht="20" customHeight="1">
      <x:c r="A94" s="2" t="str">
        <x:v>Cash at beginning of the period</x:v>
      </x:c>
      <x:c r="B94" s="40" t="n">
        <x:f>C12</x:f>
        <x:v>63500</x:v>
      </x:c>
      <x:c r="C94" s="18"/>
    </x:row>
    <x:row r="95" ht="20" customHeight="1">
      <x:c r="A95" s="2" t="str">
        <x:v>Cash at end of the period</x:v>
      </x:c>
      <x:c r="B95" s="18"/>
      <x:c r="C95" s="44" t="n">
        <x:f>SUM(C93,B94)</x:f>
        <x:v>68250</x:v>
      </x:c>
    </x:row>
    <x:row r="96" ht="20" customHeight="1">
      <x:c r="A96" s="2"/>
      <x:c r="B96" s="2"/>
      <x:c r="C96" s="2"/>
    </x:row>
    <x:row r="97" ht="20" customHeight="1">
      <x:c r="A97" s="2"/>
      <x:c r="B97" s="2"/>
      <x:c r="C97" s="2"/>
    </x:row>
    <x:row r="98" ht="20" customHeight="1">
      <x:c r="A98" s="2"/>
      <x:c r="B98" s="2"/>
      <x:c r="C98" s="2"/>
    </x:row>
    <x:row r="99" ht="20" customHeight="1">
      <x:c r="A99" s="50" t="str">
        <x:v>Students: The scratchpad area is for you to do any additional work you need to solve this question or can be used to show your work.</x:v>
      </x:c>
      <x:c r="B99" s="50"/>
      <x:c r="C99" s="50"/>
      <x:c r="D99" s="51"/>
      <x:c r="E99" s="51"/>
      <x:c r="F99" s="51"/>
      <x:c r="G99" s="51"/>
      <x:c r="H99" s="51"/>
      <x:c r="I99" s="51"/>
      <x:c r="J99" s="51"/>
      <x:c r="K99" s="51"/>
      <x:c r="L99" s="51"/>
    </x:row>
    <x:row r="100" ht="20" customHeight="1">
      <x:c r="A100" s="46" t="str">
        <x:v>Nothing in this area will be graded, but it will be submitted with your assignment.</x:v>
      </x:c>
      <x:c r="B100" s="46"/>
      <x:c r="C100" s="46"/>
      <x:c r="D100" s="47"/>
      <x:c r="E100" s="47"/>
      <x:c r="F100" s="47"/>
      <x:c r="G100" s="47"/>
      <x:c r="H100" s="47"/>
      <x:c r="I100" s="47"/>
      <x:c r="J100" s="47"/>
      <x:c r="K100" s="47"/>
      <x:c r="L100" s="47"/>
    </x:row>
    <x:row r="101" ht="20" customHeight="1">
      <x:c r="A101" s="46"/>
      <x:c r="B101" s="46"/>
      <x:c r="C101" s="46"/>
      <x:c r="D101" s="47"/>
      <x:c r="E101" s="47"/>
      <x:c r="F101" s="47"/>
      <x:c r="G101" s="47"/>
      <x:c r="H101" s="47"/>
      <x:c r="I101" s="47"/>
      <x:c r="J101" s="47"/>
      <x:c r="K101" s="47"/>
      <x:c r="L101" s="47"/>
    </x:row>
    <x:row r="102" ht="20" customHeight="1">
      <x:c r="A102" s="46"/>
      <x:c r="B102" s="46"/>
      <x:c r="C102" s="46"/>
      <x:c r="D102" s="47"/>
      <x:c r="E102" s="47"/>
      <x:c r="F102" s="47"/>
      <x:c r="G102" s="47"/>
      <x:c r="H102" s="47"/>
      <x:c r="I102" s="47"/>
      <x:c r="J102" s="47"/>
      <x:c r="K102" s="47"/>
      <x:c r="L102" s="47"/>
    </x:row>
  </x:sheetData>
  <x:mergeCells>
    <x:mergeCell ref="A6:C6"/>
    <x:mergeCell ref="A7:C7"/>
    <x:mergeCell ref="A8:C8"/>
    <x:mergeCell ref="B52:G52"/>
    <x:mergeCell ref="B53:G53"/>
    <x:mergeCell ref="B54:G54"/>
    <x:mergeCell ref="B55:G55"/>
    <x:mergeCell ref="A66:C66"/>
    <x:mergeCell ref="A67:C67"/>
    <x:mergeCell ref="A68:C68"/>
  </x:mergeCells>
  <x:pageMargins left="0.7" right="0.7" top="0.75" bottom="0.75" header="0.3" footer="0.3"/>
</x:worksheet>
</file>